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000001_{F25AD830-0335-DD44-92CB-B87944AAE9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5" i="1"/>
  <c r="C48" i="1"/>
  <c r="C44" i="1"/>
  <c r="C40" i="1"/>
  <c r="C36" i="1"/>
  <c r="C32" i="1"/>
  <c r="C28" i="1"/>
  <c r="C24" i="1"/>
  <c r="C20" i="1"/>
  <c r="C16" i="1"/>
  <c r="C12" i="1"/>
  <c r="B4" i="2"/>
  <c r="B5" i="2"/>
  <c r="B6" i="2"/>
  <c r="B7" i="2"/>
  <c r="B8" i="2"/>
  <c r="B9" i="2"/>
  <c r="B10" i="2"/>
  <c r="B11" i="2"/>
  <c r="B12" i="2"/>
  <c r="B13" i="2"/>
  <c r="B14" i="2"/>
  <c r="B16" i="2"/>
  <c r="D3" i="1"/>
  <c r="D5" i="1"/>
  <c r="D6" i="1"/>
  <c r="D7" i="1"/>
  <c r="D9" i="1"/>
  <c r="D10" i="1"/>
  <c r="D11" i="1"/>
  <c r="D13" i="1"/>
  <c r="D14" i="1"/>
  <c r="D15" i="1"/>
  <c r="D17" i="1"/>
  <c r="D18" i="1"/>
  <c r="D19" i="1"/>
  <c r="D21" i="1"/>
  <c r="D22" i="1"/>
  <c r="D23" i="1"/>
  <c r="D25" i="1"/>
  <c r="D26" i="1"/>
  <c r="D27" i="1"/>
  <c r="D29" i="1"/>
  <c r="D31" i="1"/>
  <c r="D33" i="1"/>
  <c r="D34" i="1"/>
  <c r="D35" i="1"/>
  <c r="D37" i="1"/>
  <c r="D38" i="1"/>
  <c r="D39" i="1"/>
  <c r="D41" i="1"/>
  <c r="D42" i="1"/>
  <c r="D43" i="1"/>
  <c r="D45" i="1"/>
  <c r="D46" i="1"/>
  <c r="D47" i="1"/>
  <c r="D49" i="1"/>
  <c r="D50" i="1"/>
  <c r="D53" i="1"/>
  <c r="D54" i="1"/>
  <c r="D56" i="1"/>
  <c r="D57" i="1"/>
  <c r="D58" i="1"/>
  <c r="D60" i="1"/>
  <c r="B7" i="1"/>
  <c r="B11" i="1"/>
  <c r="B15" i="1"/>
  <c r="B19" i="1"/>
  <c r="B23" i="1"/>
  <c r="B27" i="1"/>
  <c r="B31" i="1"/>
  <c r="B35" i="1"/>
  <c r="B39" i="1"/>
  <c r="B43" i="1"/>
  <c r="B47" i="1"/>
  <c r="B54" i="1"/>
  <c r="B58" i="1"/>
  <c r="B9" i="1"/>
  <c r="B13" i="1"/>
  <c r="B17" i="1"/>
  <c r="B6" i="1"/>
  <c r="B10" i="1"/>
  <c r="B14" i="1"/>
  <c r="B18" i="1"/>
  <c r="B22" i="1"/>
  <c r="B26" i="1"/>
  <c r="B34" i="1"/>
  <c r="B38" i="1"/>
  <c r="B42" i="1"/>
  <c r="B46" i="1"/>
  <c r="B50" i="1"/>
  <c r="B53" i="1"/>
  <c r="B57" i="1"/>
  <c r="C6" i="1"/>
  <c r="C7" i="1"/>
  <c r="C9" i="1"/>
  <c r="C3" i="1"/>
  <c r="C5" i="1"/>
  <c r="C8" i="1"/>
  <c r="C4" i="1"/>
  <c r="B21" i="1"/>
  <c r="B25" i="1"/>
  <c r="B29" i="1"/>
  <c r="B33" i="1"/>
  <c r="B37" i="1"/>
  <c r="B41" i="1"/>
  <c r="B45" i="1"/>
  <c r="B49" i="1"/>
  <c r="B56" i="1"/>
  <c r="B60" i="1"/>
  <c r="B17" i="2"/>
  <c r="C10" i="1"/>
  <c r="C11" i="1"/>
  <c r="C13" i="1"/>
  <c r="C14" i="1"/>
  <c r="C18" i="1"/>
  <c r="C15" i="1"/>
  <c r="C17" i="1"/>
  <c r="C19" i="1"/>
  <c r="C21" i="1"/>
  <c r="C22" i="1"/>
  <c r="C26" i="1"/>
  <c r="C23" i="1"/>
  <c r="C25" i="1"/>
  <c r="C27" i="1"/>
  <c r="C34" i="1"/>
  <c r="C35" i="1"/>
  <c r="C37" i="1"/>
  <c r="C38" i="1"/>
  <c r="C29" i="1"/>
  <c r="C31" i="1"/>
  <c r="C33" i="1"/>
  <c r="C39" i="1"/>
  <c r="C41" i="1"/>
  <c r="C42" i="1"/>
  <c r="C43" i="1"/>
  <c r="C45" i="1"/>
  <c r="C46" i="1"/>
  <c r="C47" i="1"/>
  <c r="C49" i="1"/>
  <c r="C50" i="1"/>
  <c r="C53" i="1"/>
  <c r="C54" i="1"/>
  <c r="C56" i="1"/>
  <c r="C57" i="1"/>
  <c r="C58" i="1"/>
  <c r="C60" i="1"/>
</calcChain>
</file>

<file path=xl/sharedStrings.xml><?xml version="1.0" encoding="utf-8"?>
<sst xmlns="http://schemas.openxmlformats.org/spreadsheetml/2006/main" count="198" uniqueCount="165">
  <si>
    <t>Mon</t>
  </si>
  <si>
    <t>Wed</t>
  </si>
  <si>
    <t>Fri</t>
  </si>
  <si>
    <t>class</t>
  </si>
  <si>
    <t>week</t>
  </si>
  <si>
    <t>fall pause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</si>
  <si>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</si>
  <si>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</si>
  <si>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</si>
  <si>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</si>
  <si>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</si>
  <si>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</si>
  <si>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</si>
  <si>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</si>
  <si>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</si>
  <si>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</si>
  <si>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</si>
  <si>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</si>
  <si>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</si>
  <si>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</si>
  <si>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</si>
  <si>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</si>
  <si>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</si>
  <si>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</si>
  <si>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</si>
  <si>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</si>
  <si>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</si>
  <si>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</si>
  <si>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</si>
  <si>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</si>
  <si>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</si>
  <si>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</si>
  <si>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</si>
  <si>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</si>
  <si>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</si>
  <si>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</si>
  <si>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</si>
  <si>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</si>
  <si>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</si>
  <si>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</si>
  <si>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</si>
  <si>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</si>
  <si>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</si>
  <si>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</si>
  <si>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</si>
  <si>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</si>
  <si>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</si>
  <si>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</si>
  <si>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</si>
  <si>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</si>
  <si>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</si>
  <si>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</si>
  <si>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</si>
  <si>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</si>
  <si>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</si>
  <si>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</si>
  <si>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</si>
  <si>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</si>
  <si>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</si>
  <si>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</si>
  <si>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</si>
  <si>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</si>
  <si>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</si>
  <si>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</si>
  <si>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</si>
  <si>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</si>
  <si>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</si>
  <si>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</si>
  <si>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</si>
  <si>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</si>
  <si>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</si>
  <si>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</si>
  <si>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</si>
  <si>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</si>
  <si>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</si>
  <si>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</si>
  <si>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</si>
  <si>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</si>
  <si>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</si>
  <si>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</si>
  <si>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</si>
  <si>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</si>
  <si>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</si>
  <si>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</si>
  <si>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</si>
  <si>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</si>
  <si>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</si>
  <si>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</si>
  <si>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</si>
  <si>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</si>
  <si>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</si>
  <si>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</si>
  <si>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</si>
  <si>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encapsulation; generalization; refactoring</t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</si>
  <si>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</si>
  <si>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</si>
  <si>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</si>
  <si>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</si>
  <si>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[Lab 1]</t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</si>
  <si>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</si>
  <si>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</si>
  <si>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</si>
  <si>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</si>
  <si>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</si>
  <si>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</si>
  <si>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</si>
  <si>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</si>
  <si>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</si>
  <si>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</si>
  <si>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</si>
  <si>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</si>
  <si>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</si>
  <si>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</si>
  <si>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</si>
  <si>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</si>
  <si>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</si>
  <si>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</si>
  <si>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</si>
  <si>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</si>
  <si>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</si>
  <si>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</si>
  <si>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t>Tue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</si>
  <si>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</si>
  <si>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</si>
  <si>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</si>
  <si>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</si>
  <si>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</si>
  <si>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</si>
  <si>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</si>
  <si>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</si>
  <si>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</si>
  <si>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</si>
  <si>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</si>
  <si>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7.5-7.7</t>
  </si>
  <si>
    <t>1.7, 2.9, 3.9, 4.9, 5.12, 6.10, 7.7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</si>
  <si>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</si>
  <si>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</si>
  <si>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</si>
  <si>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</si>
  <si>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</si>
  <si>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</si>
  <si>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</si>
  <si>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</si>
  <si>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</si>
  <si>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</si>
  <si>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</si>
  <si>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</si>
  <si>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</si>
  <si>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</si>
  <si>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</si>
  <si>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</si>
  <si>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</si>
  <si>
    <t>introduction</t>
  </si>
  <si>
    <t>begin final project: Federalist papers (Lab 9)</t>
  </si>
  <si>
    <t>Thu</t>
  </si>
  <si>
    <t>SSG13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</si>
  <si>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</si>
  <si>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</si>
  <si>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</si>
  <si>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</si>
  <si>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</si>
  <si>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</si>
  <si>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</si>
  <si>
    <t>the IDLE debugger; stack diagrams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</si>
</sst>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zoomScale="140" zoomScaleNormal="140" workbookViewId="0">
      <pane xSplit="1" ySplit="1" topLeftCell="B9" activePane="bottomRight" state="frozen"/>
      <selection pane="bottomLeft" activeCell="A2" sqref="A2"/>
      <selection pane="topRight" activeCell="B1" sqref="B1"/>
      <selection pane="bottomRight" activeCell="F15" sqref="F15"/>
    </sheetView>
  </sheetViews>
  <sheetFormatPr defaultRowHeight="15" x14ac:dyDescent="0.2"/>
  <cols>
    <col min="2" max="2" width="6.45703125" customWidth="1"/>
    <col min="3" max="3" width="7.26171875" style="1" customWidth="1"/>
    <col min="4" max="4" width="5.91796875" customWidth="1"/>
    <col min="5" max="5" width="13.71875" style="8" customWidth="1"/>
    <col min="6" max="6" width="28.515625" style="5" customWidth="1"/>
    <col min="7" max="7" width="13.98828125" style="8" customWidth="1"/>
    <col min="8" max="8" width="25.828125" style="5" customWidth="1"/>
    <col min="10" max="10" width="9.14453125" customWidth="1"/>
    <col min="11" max="11" width="38.47265625" bestFit="1" customWidth="1"/>
    <col min="12" max="12" width="11.56640625" style="6" customWidth="1"/>
    <col min="17" max="17" width="11.8359375" style="5" bestFit="1" customWidth="1"/>
    <col min="18" max="18" width="11.43359375" customWidth="1"/>
  </cols>
  <sheetData>
    <row r="1" spans="1:17" s="7" customFormat="1" ht="50.25" x14ac:dyDescent="0.2">
      <c r="A1" s="10" t="s">
        <v>4</v>
      </c>
      <c r="B1" s="10" t="s">
        <v>73</v>
      </c>
      <c r="C1" s="11" t="s">
        <v>74</v>
      </c>
      <c r="D1" s="10" t="s">
        <v>3</v>
      </c>
      <c r="E1" s="10" t="s">
        <v>45</v>
      </c>
      <c r="F1" s="10" t="s">
        <v>46</v>
      </c>
      <c r="G1" s="10" t="s">
        <v>124</v>
      </c>
      <c r="H1" s="10" t="s">
        <v>43</v>
      </c>
      <c r="I1" s="10" t="s">
        <v>75</v>
      </c>
      <c r="L1" s="9"/>
    </row>
    <row r="2" spans="1:17" ht="15" customHeight="1" x14ac:dyDescent="0.2">
      <c r="A2" s="30">
        <v>1</v>
      </c>
      <c r="B2" s="12" t="s">
        <v>0</v>
      </c>
      <c r="C2" s="13">
        <v>45901</v>
      </c>
      <c r="D2" s="12">
        <v>1</v>
      </c>
      <c r="E2" s="33" t="s">
        <v>44</v>
      </c>
      <c r="F2" s="14" t="s">
        <v>152</v>
      </c>
      <c r="G2" s="15"/>
      <c r="H2" s="14"/>
      <c r="I2" s="12"/>
    </row>
    <row r="3" spans="1:17" ht="27.75" x14ac:dyDescent="0.2">
      <c r="A3" s="30"/>
      <c r="B3" s="12" t="s">
        <v>1</v>
      </c>
      <c r="C3" s="13">
        <f>C2+2</f>
        <v>45903</v>
      </c>
      <c r="D3" s="12">
        <f t="shared" ref="D3:D27" si="0">D2+1</f>
        <v>2</v>
      </c>
      <c r="E3" s="34"/>
      <c r="F3" s="14" t="s">
        <v>157</v>
      </c>
      <c r="G3" s="15" t="s">
        <v>99</v>
      </c>
      <c r="I3" s="12"/>
    </row>
    <row r="4" spans="1:17" ht="27.75" x14ac:dyDescent="0.2">
      <c r="A4" s="30"/>
      <c r="B4" s="12" t="s">
        <v>154</v>
      </c>
      <c r="C4" s="13">
        <f>C3+1</f>
        <v>45904</v>
      </c>
      <c r="D4" s="12"/>
      <c r="E4" s="34"/>
      <c r="F4" s="14"/>
      <c r="G4" s="15"/>
      <c r="H4" s="14" t="s">
        <v>77</v>
      </c>
      <c r="I4" s="12"/>
    </row>
    <row r="5" spans="1:17" ht="27.75" x14ac:dyDescent="0.2">
      <c r="A5" s="30"/>
      <c r="B5" s="12" t="s">
        <v>2</v>
      </c>
      <c r="C5" s="13">
        <f>C3+2</f>
        <v>45905</v>
      </c>
      <c r="D5" s="12">
        <f>D3+1</f>
        <v>3</v>
      </c>
      <c r="E5" s="35"/>
      <c r="F5" s="14" t="s">
        <v>158</v>
      </c>
      <c r="G5" s="15" t="s">
        <v>38</v>
      </c>
      <c r="H5" s="14"/>
      <c r="I5" s="12"/>
    </row>
    <row r="6" spans="1:17" ht="27.75" x14ac:dyDescent="0.2">
      <c r="A6" s="30">
        <v>2</v>
      </c>
      <c r="B6" s="12" t="str">
        <f>B2</f>
        <v>Mon</v>
      </c>
      <c r="C6" s="13">
        <f>C2+7</f>
        <v>45908</v>
      </c>
      <c r="D6" s="12">
        <f t="shared" si="0"/>
        <v>4</v>
      </c>
      <c r="E6" s="33" t="s">
        <v>78</v>
      </c>
      <c r="F6" s="14" t="s">
        <v>160</v>
      </c>
      <c r="G6" s="15" t="s">
        <v>128</v>
      </c>
      <c r="H6" s="14"/>
      <c r="I6" s="12" t="s">
        <v>82</v>
      </c>
    </row>
    <row r="7" spans="1:17" ht="27.75" x14ac:dyDescent="0.2">
      <c r="A7" s="30"/>
      <c r="B7" s="12" t="str">
        <f>B3</f>
        <v>Wed</v>
      </c>
      <c r="C7" s="13">
        <f>C6+2</f>
        <v>45910</v>
      </c>
      <c r="D7" s="12">
        <f t="shared" si="0"/>
        <v>5</v>
      </c>
      <c r="E7" s="34"/>
      <c r="F7" s="14" t="s">
        <v>162</v>
      </c>
      <c r="G7" s="15" t="s">
        <v>161</v>
      </c>
    </row>
    <row r="8" spans="1:17" x14ac:dyDescent="0.2">
      <c r="A8" s="30"/>
      <c r="B8" s="12" t="s">
        <v>154</v>
      </c>
      <c r="C8" s="13">
        <f>C7+1</f>
        <v>45911</v>
      </c>
      <c r="D8" s="12"/>
      <c r="E8" s="34"/>
      <c r="F8" s="14"/>
      <c r="G8" s="15"/>
      <c r="H8" s="14" t="s">
        <v>56</v>
      </c>
      <c r="I8" s="12" t="s">
        <v>98</v>
      </c>
    </row>
    <row r="9" spans="1:17" ht="41.25" x14ac:dyDescent="0.2">
      <c r="A9" s="30"/>
      <c r="B9" s="12" t="str">
        <f t="shared" ref="B9" si="1">B5</f>
        <v>Fri</v>
      </c>
      <c r="C9" s="13">
        <f>C7+2</f>
        <v>45912</v>
      </c>
      <c r="D9" s="12">
        <f>D7+1</f>
        <v>6</v>
      </c>
      <c r="E9" s="35"/>
      <c r="F9" s="14" t="s">
        <v>159</v>
      </c>
      <c r="G9" s="15" t="s">
        <v>125</v>
      </c>
      <c r="H9" s="14"/>
      <c r="I9" s="12"/>
    </row>
    <row r="10" spans="1:17" x14ac:dyDescent="0.2">
      <c r="A10" s="30">
        <v>3</v>
      </c>
      <c r="B10" s="12" t="str">
        <f>B6</f>
        <v>Mon</v>
      </c>
      <c r="C10" s="13">
        <f>C6+7</f>
        <v>45915</v>
      </c>
      <c r="D10" s="12">
        <f t="shared" si="0"/>
        <v>7</v>
      </c>
      <c r="E10" s="32" t="s">
        <v>79</v>
      </c>
      <c r="F10" s="14" t="s">
        <v>39</v>
      </c>
      <c r="G10" s="15" t="s">
        <v>100</v>
      </c>
      <c r="H10" s="14"/>
      <c r="I10" s="12" t="s">
        <v>47</v>
      </c>
      <c r="Q10" s="29"/>
    </row>
    <row r="11" spans="1:17" x14ac:dyDescent="0.2">
      <c r="A11" s="30"/>
      <c r="B11" s="12" t="str">
        <f>B7</f>
        <v>Wed</v>
      </c>
      <c r="C11" s="13">
        <f>C10+2</f>
        <v>45917</v>
      </c>
      <c r="D11" s="12">
        <f t="shared" si="0"/>
        <v>8</v>
      </c>
      <c r="E11" s="32"/>
      <c r="F11" s="14" t="s">
        <v>101</v>
      </c>
      <c r="G11" s="15" t="s">
        <v>126</v>
      </c>
      <c r="Q11" s="29"/>
    </row>
    <row r="12" spans="1:17" x14ac:dyDescent="0.2">
      <c r="A12" s="30"/>
      <c r="B12" s="12" t="s">
        <v>154</v>
      </c>
      <c r="C12" s="13">
        <f>C11+1</f>
        <v>45918</v>
      </c>
      <c r="D12" s="12"/>
      <c r="E12" s="32"/>
      <c r="F12" s="14"/>
      <c r="G12" s="15"/>
      <c r="H12" s="14" t="s">
        <v>57</v>
      </c>
      <c r="I12" s="12" t="s">
        <v>66</v>
      </c>
      <c r="Q12" s="29"/>
    </row>
    <row r="13" spans="1:17" ht="27.75" x14ac:dyDescent="0.2">
      <c r="A13" s="30"/>
      <c r="B13" s="12" t="str">
        <f t="shared" ref="B13" si="2">B9</f>
        <v>Fri</v>
      </c>
      <c r="C13" s="13">
        <f>C11+2</f>
        <v>45919</v>
      </c>
      <c r="D13" s="12">
        <f>D11+1</f>
        <v>9</v>
      </c>
      <c r="E13" s="32"/>
      <c r="F13" s="14" t="s">
        <v>102</v>
      </c>
      <c r="G13" s="21" t="s">
        <v>127</v>
      </c>
      <c r="H13" s="14"/>
      <c r="I13" s="12"/>
      <c r="Q13" s="29"/>
    </row>
    <row r="14" spans="1:17" ht="38.25" x14ac:dyDescent="0.2">
      <c r="A14" s="30">
        <v>4</v>
      </c>
      <c r="B14" s="12" t="str">
        <f>B10</f>
        <v>Mon</v>
      </c>
      <c r="C14" s="13">
        <f>C10+7</f>
        <v>45922</v>
      </c>
      <c r="D14" s="12">
        <f t="shared" si="0"/>
        <v>10</v>
      </c>
      <c r="E14" s="15"/>
      <c r="F14" s="16" t="s">
        <v>94</v>
      </c>
      <c r="G14" s="19" t="s">
        <v>97</v>
      </c>
      <c r="H14" s="14"/>
      <c r="I14" s="12" t="s">
        <v>48</v>
      </c>
    </row>
    <row r="15" spans="1:17" ht="27.75" x14ac:dyDescent="0.2">
      <c r="A15" s="30"/>
      <c r="B15" s="12" t="str">
        <f>B11</f>
        <v>Wed</v>
      </c>
      <c r="C15" s="13">
        <f>C14+2</f>
        <v>45924</v>
      </c>
      <c r="D15" s="12">
        <f t="shared" si="0"/>
        <v>11</v>
      </c>
      <c r="E15" s="32" t="s">
        <v>81</v>
      </c>
      <c r="F15" s="14" t="s">
        <v>163</v>
      </c>
      <c r="G15" s="15" t="s">
        <v>129</v>
      </c>
    </row>
    <row r="16" spans="1:17" x14ac:dyDescent="0.2">
      <c r="A16" s="30"/>
      <c r="B16" s="12" t="s">
        <v>154</v>
      </c>
      <c r="C16" s="13">
        <f>C15+1</f>
        <v>45925</v>
      </c>
      <c r="D16" s="12"/>
      <c r="E16" s="32"/>
      <c r="F16" s="14"/>
      <c r="G16" s="15" t="s">
        <v>155</v>
      </c>
      <c r="H16" s="14" t="s">
        <v>58</v>
      </c>
      <c r="I16" s="12" t="s">
        <v>67</v>
      </c>
    </row>
    <row r="17" spans="1:9" x14ac:dyDescent="0.2">
      <c r="A17" s="30"/>
      <c r="B17" s="12" t="str">
        <f t="shared" ref="B17" si="3">B13</f>
        <v>Fri</v>
      </c>
      <c r="C17" s="13">
        <f>C15+2</f>
        <v>45926</v>
      </c>
      <c r="D17" s="12">
        <f>D15+1</f>
        <v>12</v>
      </c>
      <c r="E17" s="32"/>
      <c r="F17" s="14" t="s">
        <v>103</v>
      </c>
      <c r="G17" s="21" t="s">
        <v>156</v>
      </c>
      <c r="H17" s="14"/>
      <c r="I17" s="12"/>
    </row>
    <row r="18" spans="1:9" ht="37.5" x14ac:dyDescent="0.2">
      <c r="A18" s="30">
        <v>5</v>
      </c>
      <c r="B18" s="12" t="str">
        <f>B14</f>
        <v>Mon</v>
      </c>
      <c r="C18" s="13">
        <f>C14+7</f>
        <v>45929</v>
      </c>
      <c r="D18" s="12">
        <f t="shared" si="0"/>
        <v>13</v>
      </c>
      <c r="E18" s="15"/>
      <c r="F18" s="16" t="s">
        <v>95</v>
      </c>
      <c r="G18" s="5" t="s">
        <v>92</v>
      </c>
      <c r="H18" s="14"/>
      <c r="I18" s="12" t="s">
        <v>49</v>
      </c>
    </row>
    <row r="19" spans="1:9" ht="27.75" x14ac:dyDescent="0.2">
      <c r="A19" s="30"/>
      <c r="B19" s="12" t="str">
        <f>B15</f>
        <v>Wed</v>
      </c>
      <c r="C19" s="13">
        <f>C18+2</f>
        <v>45931</v>
      </c>
      <c r="D19" s="12">
        <f t="shared" si="0"/>
        <v>14</v>
      </c>
      <c r="E19" s="32" t="s">
        <v>80</v>
      </c>
      <c r="F19" s="14" t="s">
        <v>93</v>
      </c>
      <c r="G19" s="15" t="s">
        <v>140</v>
      </c>
    </row>
    <row r="20" spans="1:9" x14ac:dyDescent="0.2">
      <c r="A20" s="30"/>
      <c r="B20" s="12" t="s">
        <v>154</v>
      </c>
      <c r="C20" s="13">
        <f>C19+1</f>
        <v>45932</v>
      </c>
      <c r="D20" s="12"/>
      <c r="E20" s="32"/>
      <c r="F20" s="14"/>
      <c r="G20" s="15"/>
      <c r="H20" s="14" t="s">
        <v>59</v>
      </c>
      <c r="I20" s="12" t="s">
        <v>68</v>
      </c>
    </row>
    <row r="21" spans="1:9" ht="30.75" x14ac:dyDescent="0.2">
      <c r="A21" s="30"/>
      <c r="B21" s="12" t="str">
        <f>B17</f>
        <v>Fri</v>
      </c>
      <c r="C21" s="13">
        <f>C19+2</f>
        <v>45933</v>
      </c>
      <c r="D21" s="12">
        <f>D19+1</f>
        <v>15</v>
      </c>
      <c r="E21" s="32"/>
      <c r="F21" s="20" t="s">
        <v>105</v>
      </c>
      <c r="G21" s="15" t="s">
        <v>141</v>
      </c>
      <c r="H21" s="14"/>
      <c r="I21" s="12"/>
    </row>
    <row r="22" spans="1:9" ht="41.25" x14ac:dyDescent="0.2">
      <c r="A22" s="30">
        <v>6</v>
      </c>
      <c r="B22" s="12" t="str">
        <f>B18</f>
        <v>Mon</v>
      </c>
      <c r="C22" s="13">
        <f>C18+7</f>
        <v>45936</v>
      </c>
      <c r="D22" s="12">
        <f t="shared" si="0"/>
        <v>16</v>
      </c>
      <c r="E22" s="15"/>
      <c r="F22" s="16" t="s">
        <v>123</v>
      </c>
      <c r="G22" s="19" t="s">
        <v>122</v>
      </c>
      <c r="H22" s="14"/>
      <c r="I22" s="12" t="s">
        <v>50</v>
      </c>
    </row>
    <row r="23" spans="1:9" x14ac:dyDescent="0.2">
      <c r="A23" s="30"/>
      <c r="B23" s="12" t="str">
        <f>B19</f>
        <v>Wed</v>
      </c>
      <c r="C23" s="13">
        <f>C22+2</f>
        <v>45938</v>
      </c>
      <c r="D23" s="12">
        <f t="shared" si="0"/>
        <v>17</v>
      </c>
      <c r="E23" s="15"/>
      <c r="F23" s="14" t="s">
        <v>41</v>
      </c>
      <c r="G23" s="15"/>
      <c r="I23" s="12"/>
    </row>
    <row r="24" spans="1:9" x14ac:dyDescent="0.2">
      <c r="A24" s="30"/>
      <c r="B24" s="12" t="s">
        <v>154</v>
      </c>
      <c r="C24" s="13">
        <f>C23+1</f>
        <v>45939</v>
      </c>
      <c r="D24" s="12"/>
      <c r="E24" s="15"/>
      <c r="F24" s="14"/>
      <c r="G24" s="15"/>
      <c r="H24" s="14" t="s">
        <v>14</v>
      </c>
      <c r="I24" s="12"/>
    </row>
    <row r="25" spans="1:9" x14ac:dyDescent="0.2">
      <c r="A25" s="30"/>
      <c r="B25" s="12" t="str">
        <f t="shared" ref="B25" si="4">B21</f>
        <v>Fri</v>
      </c>
      <c r="C25" s="13">
        <f>C23+2</f>
        <v>45940</v>
      </c>
      <c r="D25" s="12">
        <f>D23+1</f>
        <v>18</v>
      </c>
      <c r="E25" s="15"/>
      <c r="F25" s="17" t="s">
        <v>60</v>
      </c>
      <c r="G25" s="15"/>
      <c r="H25" s="14"/>
      <c r="I25" s="12"/>
    </row>
    <row r="26" spans="1:9" x14ac:dyDescent="0.2">
      <c r="A26" s="30">
        <v>7</v>
      </c>
      <c r="B26" s="12" t="str">
        <f>B22</f>
        <v>Mon</v>
      </c>
      <c r="C26" s="13">
        <f>C22+7</f>
        <v>45943</v>
      </c>
      <c r="D26" s="12">
        <f t="shared" si="0"/>
        <v>19</v>
      </c>
      <c r="E26" s="32" t="s">
        <v>149</v>
      </c>
      <c r="F26" s="14" t="s">
        <v>42</v>
      </c>
      <c r="G26" s="15" t="s">
        <v>40</v>
      </c>
      <c r="H26" s="14"/>
      <c r="I26" s="12" t="s">
        <v>69</v>
      </c>
    </row>
    <row r="27" spans="1:9" x14ac:dyDescent="0.2">
      <c r="A27" s="30"/>
      <c r="B27" s="12" t="str">
        <f>B23</f>
        <v>Wed</v>
      </c>
      <c r="C27" s="13">
        <f>C26+2</f>
        <v>45945</v>
      </c>
      <c r="D27" s="12">
        <f t="shared" si="0"/>
        <v>20</v>
      </c>
      <c r="E27" s="32"/>
      <c r="F27" s="14" t="s">
        <v>131</v>
      </c>
      <c r="G27" s="15" t="s">
        <v>106</v>
      </c>
      <c r="I27" s="12"/>
    </row>
    <row r="28" spans="1:9" x14ac:dyDescent="0.2">
      <c r="A28" s="30"/>
      <c r="B28" s="12" t="s">
        <v>154</v>
      </c>
      <c r="C28" s="13">
        <f>C27+1</f>
        <v>45946</v>
      </c>
      <c r="D28" s="12"/>
      <c r="E28" s="32"/>
      <c r="F28" s="14"/>
      <c r="G28" s="15"/>
      <c r="H28" s="17" t="s">
        <v>89</v>
      </c>
      <c r="I28" s="12"/>
    </row>
    <row r="29" spans="1:9" x14ac:dyDescent="0.2">
      <c r="A29" s="30"/>
      <c r="B29" s="12" t="str">
        <f t="shared" ref="B29" si="5">B25</f>
        <v>Fri</v>
      </c>
      <c r="C29" s="13">
        <f>C27+2</f>
        <v>45947</v>
      </c>
      <c r="D29" s="12">
        <f>D27+1</f>
        <v>21</v>
      </c>
      <c r="E29" s="32"/>
      <c r="F29" s="14" t="s">
        <v>132</v>
      </c>
      <c r="G29" s="15" t="s">
        <v>130</v>
      </c>
      <c r="H29" s="14"/>
      <c r="I29" s="12"/>
    </row>
    <row r="30" spans="1:9" x14ac:dyDescent="0.2">
      <c r="A30" s="30">
        <v>8</v>
      </c>
      <c r="B30" s="31" t="s">
        <v>5</v>
      </c>
      <c r="C30" s="31"/>
      <c r="D30" s="31"/>
      <c r="E30" s="32"/>
      <c r="F30" s="36"/>
      <c r="G30" s="37"/>
      <c r="H30" s="37"/>
      <c r="I30" s="38"/>
    </row>
    <row r="31" spans="1:9" ht="17.25" x14ac:dyDescent="0.2">
      <c r="A31" s="30"/>
      <c r="B31" s="12" t="str">
        <f>B27</f>
        <v>Wed</v>
      </c>
      <c r="C31" s="13">
        <f>C27+7</f>
        <v>45952</v>
      </c>
      <c r="D31" s="12">
        <f>D29+1</f>
        <v>22</v>
      </c>
      <c r="E31" s="32"/>
      <c r="F31" s="20" t="s">
        <v>96</v>
      </c>
      <c r="G31" s="20" t="s">
        <v>142</v>
      </c>
      <c r="I31" s="12"/>
    </row>
    <row r="32" spans="1:9" ht="27.75" x14ac:dyDescent="0.2">
      <c r="A32" s="30"/>
      <c r="B32" s="12" t="s">
        <v>154</v>
      </c>
      <c r="C32" s="13">
        <f>C31+1</f>
        <v>45953</v>
      </c>
      <c r="D32" s="12"/>
      <c r="E32" s="23"/>
      <c r="F32" s="20"/>
      <c r="G32" s="20"/>
      <c r="H32" s="14" t="s">
        <v>62</v>
      </c>
      <c r="I32" s="12"/>
    </row>
    <row r="33" spans="1:9" ht="27.75" x14ac:dyDescent="0.2">
      <c r="A33" s="30"/>
      <c r="B33" s="12" t="str">
        <f t="shared" ref="B33" si="6">B29</f>
        <v>Fri</v>
      </c>
      <c r="C33" s="13">
        <f>C31+2</f>
        <v>45954</v>
      </c>
      <c r="D33" s="12">
        <f>D31+1</f>
        <v>23</v>
      </c>
      <c r="E33" s="32" t="s">
        <v>83</v>
      </c>
      <c r="F33" s="14" t="s">
        <v>107</v>
      </c>
      <c r="G33" s="15" t="s">
        <v>148</v>
      </c>
      <c r="H33" s="14"/>
      <c r="I33" s="12" t="s">
        <v>51</v>
      </c>
    </row>
    <row r="34" spans="1:9" x14ac:dyDescent="0.2">
      <c r="A34" s="30">
        <v>9</v>
      </c>
      <c r="B34" s="12" t="str">
        <f>B26</f>
        <v>Mon</v>
      </c>
      <c r="C34" s="13">
        <f>C26+14</f>
        <v>45957</v>
      </c>
      <c r="D34" s="12">
        <f t="shared" ref="D34:D50" si="7">D33+1</f>
        <v>24</v>
      </c>
      <c r="E34" s="32"/>
      <c r="F34" s="14" t="s">
        <v>109</v>
      </c>
      <c r="G34" s="15" t="s">
        <v>133</v>
      </c>
      <c r="H34" s="14"/>
      <c r="I34" s="12"/>
    </row>
    <row r="35" spans="1:9" ht="27.75" x14ac:dyDescent="0.2">
      <c r="A35" s="30"/>
      <c r="B35" s="12" t="str">
        <f>B31</f>
        <v>Wed</v>
      </c>
      <c r="C35" s="13">
        <f>C34+2</f>
        <v>45959</v>
      </c>
      <c r="D35" s="12">
        <f t="shared" si="7"/>
        <v>25</v>
      </c>
      <c r="E35" s="32"/>
      <c r="F35" s="14" t="s">
        <v>108</v>
      </c>
      <c r="G35" s="15" t="s">
        <v>134</v>
      </c>
    </row>
    <row r="36" spans="1:9" x14ac:dyDescent="0.2">
      <c r="A36" s="30"/>
      <c r="B36" s="12" t="s">
        <v>154</v>
      </c>
      <c r="C36" s="13">
        <f>C35+1</f>
        <v>45960</v>
      </c>
      <c r="D36" s="12"/>
      <c r="E36" s="24"/>
      <c r="F36" s="14"/>
      <c r="G36" s="15"/>
      <c r="H36" s="14" t="s">
        <v>63</v>
      </c>
      <c r="I36" s="12" t="s">
        <v>70</v>
      </c>
    </row>
    <row r="37" spans="1:9" ht="30" customHeight="1" x14ac:dyDescent="0.2">
      <c r="A37" s="30"/>
      <c r="B37" s="12" t="str">
        <f t="shared" ref="B37" si="8">B33</f>
        <v>Fri</v>
      </c>
      <c r="C37" s="13">
        <f>C35+2</f>
        <v>45961</v>
      </c>
      <c r="D37" s="12">
        <f>D35+1</f>
        <v>26</v>
      </c>
      <c r="E37" s="33" t="s">
        <v>84</v>
      </c>
      <c r="F37" s="14" t="s">
        <v>110</v>
      </c>
      <c r="G37" s="15" t="s">
        <v>143</v>
      </c>
      <c r="H37" s="14"/>
      <c r="I37" s="12" t="s">
        <v>52</v>
      </c>
    </row>
    <row r="38" spans="1:9" x14ac:dyDescent="0.2">
      <c r="A38" s="30">
        <v>10</v>
      </c>
      <c r="B38" s="12" t="str">
        <f>B34</f>
        <v>Mon</v>
      </c>
      <c r="C38" s="13">
        <f>C34+7</f>
        <v>45964</v>
      </c>
      <c r="D38" s="12">
        <f t="shared" si="7"/>
        <v>27</v>
      </c>
      <c r="E38" s="34"/>
      <c r="F38" s="14" t="s">
        <v>111</v>
      </c>
      <c r="G38" s="15" t="s">
        <v>144</v>
      </c>
      <c r="H38" s="14"/>
      <c r="I38" s="12"/>
    </row>
    <row r="39" spans="1:9" x14ac:dyDescent="0.2">
      <c r="A39" s="30"/>
      <c r="B39" s="12" t="str">
        <f>B35</f>
        <v>Wed</v>
      </c>
      <c r="C39" s="13">
        <f>C38+2</f>
        <v>45966</v>
      </c>
      <c r="D39" s="12">
        <f t="shared" si="7"/>
        <v>28</v>
      </c>
      <c r="E39" s="35"/>
      <c r="F39" s="14" t="s">
        <v>103</v>
      </c>
      <c r="G39" s="21" t="s">
        <v>22</v>
      </c>
      <c r="I39" s="12"/>
    </row>
    <row r="40" spans="1:9" x14ac:dyDescent="0.2">
      <c r="A40" s="30"/>
      <c r="B40" s="12" t="s">
        <v>154</v>
      </c>
      <c r="C40" s="13">
        <f>C39+1</f>
        <v>45967</v>
      </c>
      <c r="D40" s="12"/>
      <c r="E40" s="25"/>
      <c r="F40" s="14"/>
      <c r="G40" s="21"/>
      <c r="H40" s="14" t="s">
        <v>64</v>
      </c>
      <c r="I40" s="12"/>
    </row>
    <row r="41" spans="1:9" ht="30" customHeight="1" x14ac:dyDescent="0.2">
      <c r="A41" s="30"/>
      <c r="B41" s="12" t="str">
        <f t="shared" ref="B41" si="9">B37</f>
        <v>Fri</v>
      </c>
      <c r="C41" s="13">
        <f>C39+2</f>
        <v>45968</v>
      </c>
      <c r="D41" s="12">
        <f>D39+1</f>
        <v>29</v>
      </c>
      <c r="E41" s="33" t="s">
        <v>85</v>
      </c>
      <c r="F41" s="14" t="s">
        <v>112</v>
      </c>
      <c r="G41" s="15" t="s">
        <v>147</v>
      </c>
      <c r="H41" s="14"/>
      <c r="I41" s="12" t="s">
        <v>53</v>
      </c>
    </row>
    <row r="42" spans="1:9" x14ac:dyDescent="0.2">
      <c r="A42" s="30">
        <v>11</v>
      </c>
      <c r="B42" s="12" t="str">
        <f>B38</f>
        <v>Mon</v>
      </c>
      <c r="C42" s="13">
        <f>C38+7</f>
        <v>45971</v>
      </c>
      <c r="D42" s="12">
        <f t="shared" si="7"/>
        <v>30</v>
      </c>
      <c r="E42" s="35"/>
      <c r="F42" s="14" t="s">
        <v>113</v>
      </c>
      <c r="G42" s="15" t="s">
        <v>145</v>
      </c>
      <c r="H42" s="14"/>
      <c r="I42" s="12"/>
    </row>
    <row r="43" spans="1:9" x14ac:dyDescent="0.2">
      <c r="A43" s="30"/>
      <c r="B43" s="12" t="str">
        <f>B39</f>
        <v>Wed</v>
      </c>
      <c r="C43" s="13">
        <f>C42+2</f>
        <v>45973</v>
      </c>
      <c r="D43" s="12">
        <f t="shared" si="7"/>
        <v>31</v>
      </c>
      <c r="E43" s="32" t="s">
        <v>86</v>
      </c>
      <c r="F43" s="14" t="s">
        <v>114</v>
      </c>
      <c r="G43" s="15" t="s">
        <v>135</v>
      </c>
    </row>
    <row r="44" spans="1:9" x14ac:dyDescent="0.2">
      <c r="A44" s="30"/>
      <c r="B44" s="12" t="s">
        <v>154</v>
      </c>
      <c r="C44" s="13">
        <f>C43+1</f>
        <v>45974</v>
      </c>
      <c r="D44" s="12"/>
      <c r="E44" s="32"/>
      <c r="F44" s="14"/>
      <c r="G44" s="15"/>
      <c r="H44" s="14" t="s">
        <v>65</v>
      </c>
      <c r="I44" s="12" t="s">
        <v>71</v>
      </c>
    </row>
    <row r="45" spans="1:9" ht="27.75" x14ac:dyDescent="0.2">
      <c r="A45" s="30"/>
      <c r="B45" s="12" t="str">
        <f t="shared" ref="B45" si="10">B41</f>
        <v>Fri</v>
      </c>
      <c r="C45" s="13">
        <f>C43+2</f>
        <v>45975</v>
      </c>
      <c r="D45" s="12">
        <f>D43+1</f>
        <v>32</v>
      </c>
      <c r="E45" s="32"/>
      <c r="F45" s="14" t="s">
        <v>115</v>
      </c>
      <c r="G45" s="15" t="s">
        <v>146</v>
      </c>
      <c r="H45" s="14"/>
      <c r="I45" s="12" t="s">
        <v>54</v>
      </c>
    </row>
    <row r="46" spans="1:9" x14ac:dyDescent="0.2">
      <c r="A46" s="30">
        <v>12</v>
      </c>
      <c r="B46" s="12" t="str">
        <f>B42</f>
        <v>Mon</v>
      </c>
      <c r="C46" s="13">
        <f>C42+7</f>
        <v>45978</v>
      </c>
      <c r="D46" s="12">
        <f t="shared" si="7"/>
        <v>33</v>
      </c>
      <c r="E46" s="32"/>
      <c r="F46" s="14" t="s">
        <v>116</v>
      </c>
      <c r="G46" s="15" t="s">
        <v>136</v>
      </c>
      <c r="H46" s="14"/>
      <c r="I46" s="12"/>
    </row>
    <row r="47" spans="1:9" x14ac:dyDescent="0.2">
      <c r="A47" s="30"/>
      <c r="B47" s="12" t="str">
        <f>B43</f>
        <v>Wed</v>
      </c>
      <c r="C47" s="13">
        <f>C46+2</f>
        <v>45980</v>
      </c>
      <c r="D47" s="12">
        <f t="shared" si="7"/>
        <v>34</v>
      </c>
      <c r="E47" s="15"/>
      <c r="F47" s="14" t="s">
        <v>41</v>
      </c>
      <c r="G47" s="15"/>
      <c r="I47" s="12" t="s">
        <v>55</v>
      </c>
    </row>
    <row r="48" spans="1:9" ht="27.75" x14ac:dyDescent="0.2">
      <c r="A48" s="30"/>
      <c r="B48" s="12" t="s">
        <v>154</v>
      </c>
      <c r="C48" s="13">
        <f>C47+1</f>
        <v>45981</v>
      </c>
      <c r="D48" s="12"/>
      <c r="E48" s="15"/>
      <c r="F48" s="14"/>
      <c r="G48" s="15"/>
      <c r="H48" s="14" t="s">
        <v>120</v>
      </c>
      <c r="I48" s="12"/>
    </row>
    <row r="49" spans="1:9" x14ac:dyDescent="0.2">
      <c r="A49" s="30"/>
      <c r="B49" s="12" t="str">
        <f t="shared" ref="B49" si="11">B45</f>
        <v>Fri</v>
      </c>
      <c r="C49" s="13">
        <f>C47+2</f>
        <v>45982</v>
      </c>
      <c r="D49" s="12">
        <f>D47+1</f>
        <v>35</v>
      </c>
      <c r="E49" s="15"/>
      <c r="F49" s="17" t="s">
        <v>61</v>
      </c>
      <c r="G49" s="15"/>
      <c r="H49" s="14"/>
      <c r="I49" s="12"/>
    </row>
    <row r="50" spans="1:9" x14ac:dyDescent="0.2">
      <c r="A50" s="30">
        <v>13</v>
      </c>
      <c r="B50" s="12" t="str">
        <f>B46</f>
        <v>Mon</v>
      </c>
      <c r="C50" s="13">
        <f>C46+7</f>
        <v>45985</v>
      </c>
      <c r="D50" s="12">
        <f t="shared" si="7"/>
        <v>36</v>
      </c>
      <c r="E50" s="32" t="s">
        <v>87</v>
      </c>
      <c r="F50" s="14" t="s">
        <v>119</v>
      </c>
      <c r="G50" s="21" t="s">
        <v>137</v>
      </c>
      <c r="H50" s="14"/>
      <c r="I50" s="12" t="s">
        <v>72</v>
      </c>
    </row>
    <row r="51" spans="1:9" x14ac:dyDescent="0.2">
      <c r="A51" s="30"/>
      <c r="B51" s="31" t="s">
        <v>6</v>
      </c>
      <c r="C51" s="31"/>
      <c r="D51" s="31"/>
      <c r="E51" s="32"/>
      <c r="F51" s="39"/>
      <c r="G51" s="40"/>
      <c r="H51" s="40"/>
      <c r="I51" s="41"/>
    </row>
    <row r="52" spans="1:9" x14ac:dyDescent="0.2">
      <c r="A52" s="30"/>
      <c r="B52" s="31"/>
      <c r="C52" s="31"/>
      <c r="D52" s="31"/>
      <c r="E52" s="32"/>
      <c r="F52" s="42"/>
      <c r="G52" s="43"/>
      <c r="H52" s="43"/>
      <c r="I52" s="44"/>
    </row>
    <row r="53" spans="1:9" ht="27.75" x14ac:dyDescent="0.2">
      <c r="A53" s="30">
        <v>14</v>
      </c>
      <c r="B53" s="12" t="str">
        <f>B50</f>
        <v>Mon</v>
      </c>
      <c r="C53" s="13">
        <f>C50+7</f>
        <v>45992</v>
      </c>
      <c r="D53" s="12">
        <f>D50+1</f>
        <v>37</v>
      </c>
      <c r="E53" s="32"/>
      <c r="F53" s="14" t="s">
        <v>117</v>
      </c>
      <c r="G53" s="21" t="s">
        <v>138</v>
      </c>
      <c r="H53" s="14"/>
      <c r="I53" s="12"/>
    </row>
    <row r="54" spans="1:9" x14ac:dyDescent="0.2">
      <c r="A54" s="30"/>
      <c r="B54" s="12" t="str">
        <f>B47</f>
        <v>Wed</v>
      </c>
      <c r="C54" s="13">
        <f>C53+2</f>
        <v>45994</v>
      </c>
      <c r="D54" s="12">
        <f>D53+1</f>
        <v>38</v>
      </c>
      <c r="E54" s="32"/>
      <c r="F54" s="14" t="s">
        <v>118</v>
      </c>
      <c r="G54" s="15" t="s">
        <v>139</v>
      </c>
      <c r="I54" s="12"/>
    </row>
    <row r="55" spans="1:9" x14ac:dyDescent="0.2">
      <c r="A55" s="30"/>
      <c r="B55" s="12" t="s">
        <v>154</v>
      </c>
      <c r="C55" s="13">
        <f>C54+1</f>
        <v>45995</v>
      </c>
      <c r="D55" s="12"/>
      <c r="E55" s="23"/>
      <c r="F55" s="14"/>
      <c r="G55" s="15"/>
      <c r="H55" s="17" t="s">
        <v>90</v>
      </c>
      <c r="I55" s="12"/>
    </row>
    <row r="56" spans="1:9" ht="27.75" x14ac:dyDescent="0.2">
      <c r="A56" s="30"/>
      <c r="B56" s="12" t="str">
        <f>B49</f>
        <v>Fri</v>
      </c>
      <c r="C56" s="13">
        <f>C54+2</f>
        <v>45996</v>
      </c>
      <c r="D56" s="12">
        <f>D54+1</f>
        <v>39</v>
      </c>
      <c r="E56" s="32" t="s">
        <v>88</v>
      </c>
      <c r="F56" s="14" t="s">
        <v>153</v>
      </c>
      <c r="G56" s="15"/>
      <c r="H56" s="14"/>
      <c r="I56" s="12" t="s">
        <v>76</v>
      </c>
    </row>
    <row r="57" spans="1:9" x14ac:dyDescent="0.2">
      <c r="A57" s="30">
        <v>15</v>
      </c>
      <c r="B57" s="12" t="str">
        <f>B53</f>
        <v>Mon</v>
      </c>
      <c r="C57" s="13">
        <f>C53+7</f>
        <v>45999</v>
      </c>
      <c r="D57" s="12">
        <f>D56+1</f>
        <v>40</v>
      </c>
      <c r="E57" s="32"/>
      <c r="F57" s="45" t="s">
        <v>104</v>
      </c>
      <c r="G57" s="15"/>
      <c r="H57" s="14"/>
      <c r="I57" s="12"/>
    </row>
    <row r="58" spans="1:9" x14ac:dyDescent="0.2">
      <c r="A58" s="30"/>
      <c r="B58" s="12" t="str">
        <f>B54</f>
        <v>Wed</v>
      </c>
      <c r="C58" s="13">
        <f>C57+2</f>
        <v>46001</v>
      </c>
      <c r="D58" s="12">
        <f>D57+1</f>
        <v>41</v>
      </c>
      <c r="E58" s="32"/>
      <c r="F58" s="46"/>
      <c r="G58" s="15"/>
      <c r="I58" s="22"/>
    </row>
    <row r="59" spans="1:9" ht="27.75" x14ac:dyDescent="0.2">
      <c r="A59" s="30"/>
      <c r="B59" s="12" t="s">
        <v>154</v>
      </c>
      <c r="C59" s="13">
        <f>C58+1</f>
        <v>46002</v>
      </c>
      <c r="D59" s="12"/>
      <c r="E59" s="32"/>
      <c r="F59" s="46"/>
      <c r="G59" s="15"/>
      <c r="H59" s="14" t="s">
        <v>150</v>
      </c>
      <c r="I59" s="22"/>
    </row>
    <row r="60" spans="1:9" ht="32.25" customHeight="1" x14ac:dyDescent="0.2">
      <c r="A60" s="30"/>
      <c r="B60" s="12" t="str">
        <f t="shared" ref="B60" si="12">B56</f>
        <v>Fri</v>
      </c>
      <c r="C60" s="13">
        <f>C58+2</f>
        <v>46003</v>
      </c>
      <c r="D60" s="12">
        <f>D58+1</f>
        <v>42</v>
      </c>
      <c r="E60" s="32"/>
      <c r="F60" s="47"/>
      <c r="G60" s="15"/>
      <c r="H60" s="14"/>
      <c r="I60" s="14" t="s">
        <v>151</v>
      </c>
    </row>
    <row r="61" spans="1:9" x14ac:dyDescent="0.2">
      <c r="A61" s="18">
        <v>16</v>
      </c>
      <c r="B61" s="12" t="s">
        <v>121</v>
      </c>
      <c r="C61" s="13">
        <v>46007</v>
      </c>
      <c r="D61" s="26" t="s">
        <v>91</v>
      </c>
      <c r="E61" s="27"/>
      <c r="F61" s="28"/>
      <c r="G61" s="15"/>
      <c r="H61" s="14"/>
      <c r="I61" s="12"/>
    </row>
  </sheetData>
  <mergeCells count="34">
    <mergeCell ref="E10:E13"/>
    <mergeCell ref="E15:E17"/>
    <mergeCell ref="E19:E21"/>
    <mergeCell ref="E26:E31"/>
    <mergeCell ref="E2:E5"/>
    <mergeCell ref="E6:E9"/>
    <mergeCell ref="A2:A5"/>
    <mergeCell ref="A6:A9"/>
    <mergeCell ref="A10:A13"/>
    <mergeCell ref="A14:A17"/>
    <mergeCell ref="A18:A21"/>
    <mergeCell ref="E41:E42"/>
    <mergeCell ref="E56:E60"/>
    <mergeCell ref="E50:E54"/>
    <mergeCell ref="F30:I30"/>
    <mergeCell ref="F51:I52"/>
    <mergeCell ref="E43:E46"/>
    <mergeCell ref="F57:F60"/>
    <mergeCell ref="D61:F61"/>
    <mergeCell ref="Q10:Q13"/>
    <mergeCell ref="A50:A52"/>
    <mergeCell ref="A53:A56"/>
    <mergeCell ref="A57:A60"/>
    <mergeCell ref="B30:D30"/>
    <mergeCell ref="B51:D52"/>
    <mergeCell ref="A26:A29"/>
    <mergeCell ref="A30:A33"/>
    <mergeCell ref="A34:A37"/>
    <mergeCell ref="A38:A41"/>
    <mergeCell ref="A42:A45"/>
    <mergeCell ref="A46:A49"/>
    <mergeCell ref="A22:A25"/>
    <mergeCell ref="E33:E35"/>
    <mergeCell ref="E37:E39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"/>
  <cols>
    <col min="4" max="4" width="30.1328125" style="5" customWidth="1"/>
    <col min="5" max="5" width="30.40234375" bestFit="1" customWidth="1"/>
  </cols>
  <sheetData>
    <row r="1" spans="1:6" x14ac:dyDescent="0.2">
      <c r="D1" s="5" t="s">
        <v>33</v>
      </c>
      <c r="E1" t="s">
        <v>8</v>
      </c>
      <c r="F1" t="s">
        <v>23</v>
      </c>
    </row>
    <row r="2" spans="1:6" x14ac:dyDescent="0.2">
      <c r="A2" t="s">
        <v>4</v>
      </c>
      <c r="C2" t="s">
        <v>7</v>
      </c>
    </row>
    <row r="3" spans="1:6" x14ac:dyDescent="0.2">
      <c r="A3">
        <v>1</v>
      </c>
      <c r="B3" s="2">
        <v>45168</v>
      </c>
      <c r="C3">
        <v>1</v>
      </c>
      <c r="D3" s="5" t="s">
        <v>34</v>
      </c>
      <c r="E3" t="s">
        <v>9</v>
      </c>
      <c r="F3" t="s">
        <v>24</v>
      </c>
    </row>
    <row r="4" spans="1:6" x14ac:dyDescent="0.2">
      <c r="A4">
        <v>2</v>
      </c>
      <c r="B4" s="2">
        <f>B3+7</f>
        <v>45175</v>
      </c>
      <c r="C4">
        <v>2</v>
      </c>
      <c r="D4" s="5" t="s">
        <v>35</v>
      </c>
      <c r="E4" t="s">
        <v>10</v>
      </c>
      <c r="F4" t="s">
        <v>25</v>
      </c>
    </row>
    <row r="5" spans="1:6" x14ac:dyDescent="0.2">
      <c r="A5">
        <v>3</v>
      </c>
      <c r="B5" s="2">
        <f t="shared" ref="B5:B17" si="0">B4+7</f>
        <v>45182</v>
      </c>
      <c r="C5">
        <v>3</v>
      </c>
      <c r="D5" s="5" t="s">
        <v>26</v>
      </c>
      <c r="E5" t="s">
        <v>11</v>
      </c>
      <c r="F5" t="s">
        <v>26</v>
      </c>
    </row>
    <row r="6" spans="1:6" x14ac:dyDescent="0.2">
      <c r="A6">
        <v>4</v>
      </c>
      <c r="B6" s="2">
        <f t="shared" si="0"/>
        <v>45189</v>
      </c>
      <c r="C6">
        <v>4</v>
      </c>
      <c r="D6" s="5" t="s">
        <v>27</v>
      </c>
      <c r="E6" t="s">
        <v>12</v>
      </c>
      <c r="F6" t="s">
        <v>27</v>
      </c>
    </row>
    <row r="7" spans="1:6" x14ac:dyDescent="0.2">
      <c r="A7">
        <v>5</v>
      </c>
      <c r="B7" s="2">
        <f t="shared" si="0"/>
        <v>45196</v>
      </c>
      <c r="C7">
        <v>5</v>
      </c>
      <c r="D7" s="5" t="s">
        <v>13</v>
      </c>
      <c r="E7" t="s">
        <v>13</v>
      </c>
      <c r="F7" t="s">
        <v>13</v>
      </c>
    </row>
    <row r="8" spans="1:6" x14ac:dyDescent="0.2">
      <c r="A8">
        <v>6</v>
      </c>
      <c r="B8" s="2">
        <f t="shared" si="0"/>
        <v>45203</v>
      </c>
      <c r="C8">
        <v>6</v>
      </c>
      <c r="D8" s="5" t="s">
        <v>14</v>
      </c>
      <c r="E8" t="s">
        <v>14</v>
      </c>
      <c r="F8" t="s">
        <v>28</v>
      </c>
    </row>
    <row r="9" spans="1:6" x14ac:dyDescent="0.2">
      <c r="A9">
        <v>7</v>
      </c>
      <c r="B9" s="2">
        <f t="shared" si="0"/>
        <v>45210</v>
      </c>
      <c r="C9">
        <v>7</v>
      </c>
      <c r="D9" s="5" t="s">
        <v>15</v>
      </c>
      <c r="E9" t="s">
        <v>15</v>
      </c>
      <c r="F9" t="s">
        <v>17</v>
      </c>
    </row>
    <row r="10" spans="1:6" x14ac:dyDescent="0.2">
      <c r="A10">
        <v>8</v>
      </c>
      <c r="B10" s="2">
        <f t="shared" si="0"/>
        <v>45217</v>
      </c>
      <c r="C10">
        <v>8</v>
      </c>
      <c r="D10" s="5" t="s">
        <v>16</v>
      </c>
      <c r="E10" t="s">
        <v>16</v>
      </c>
      <c r="F10" t="s">
        <v>14</v>
      </c>
    </row>
    <row r="11" spans="1:6" x14ac:dyDescent="0.2">
      <c r="A11">
        <v>9</v>
      </c>
      <c r="B11" s="2">
        <f t="shared" si="0"/>
        <v>45224</v>
      </c>
      <c r="C11">
        <v>9</v>
      </c>
      <c r="D11" s="5" t="s">
        <v>17</v>
      </c>
      <c r="E11" t="s">
        <v>17</v>
      </c>
      <c r="F11" s="4" t="s">
        <v>29</v>
      </c>
    </row>
    <row r="12" spans="1:6" x14ac:dyDescent="0.2">
      <c r="A12">
        <v>10</v>
      </c>
      <c r="B12" s="2">
        <f t="shared" si="0"/>
        <v>45231</v>
      </c>
      <c r="C12">
        <v>10</v>
      </c>
      <c r="D12" s="5" t="s">
        <v>36</v>
      </c>
      <c r="E12" t="s">
        <v>18</v>
      </c>
      <c r="F12" t="s">
        <v>30</v>
      </c>
    </row>
    <row r="13" spans="1:6" x14ac:dyDescent="0.2">
      <c r="A13">
        <v>11</v>
      </c>
      <c r="B13" s="2">
        <f t="shared" si="0"/>
        <v>45238</v>
      </c>
      <c r="C13">
        <v>11</v>
      </c>
      <c r="D13" s="5" t="s">
        <v>18</v>
      </c>
      <c r="E13" t="s">
        <v>19</v>
      </c>
      <c r="F13" t="s">
        <v>18</v>
      </c>
    </row>
    <row r="14" spans="1:6" x14ac:dyDescent="0.2">
      <c r="A14">
        <v>12</v>
      </c>
      <c r="B14" s="2">
        <f t="shared" si="0"/>
        <v>45245</v>
      </c>
      <c r="C14">
        <v>12</v>
      </c>
      <c r="D14" s="5" t="s">
        <v>19</v>
      </c>
      <c r="E14" t="s">
        <v>20</v>
      </c>
      <c r="F14" s="4" t="s">
        <v>31</v>
      </c>
    </row>
    <row r="15" spans="1:6" x14ac:dyDescent="0.2">
      <c r="A15">
        <v>13</v>
      </c>
      <c r="B15" s="2" t="s">
        <v>6</v>
      </c>
    </row>
    <row r="16" spans="1:6" x14ac:dyDescent="0.2">
      <c r="A16">
        <v>14</v>
      </c>
      <c r="B16" s="2">
        <f>B14+14</f>
        <v>45259</v>
      </c>
      <c r="C16">
        <v>13</v>
      </c>
      <c r="D16" s="5" t="s">
        <v>20</v>
      </c>
      <c r="E16" t="s">
        <v>21</v>
      </c>
      <c r="F16" t="s">
        <v>19</v>
      </c>
    </row>
    <row r="17" spans="1:6" ht="27.75" x14ac:dyDescent="0.2">
      <c r="A17">
        <v>15</v>
      </c>
      <c r="B17" s="2">
        <f t="shared" si="0"/>
        <v>45266</v>
      </c>
      <c r="C17">
        <v>14</v>
      </c>
      <c r="D17" s="5" t="s">
        <v>37</v>
      </c>
      <c r="E17" s="3" t="s">
        <v>22</v>
      </c>
      <c r="F17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2025-09-09T12:37:40Z</dcterms:modified>
</cp:coreProperties>
</file>